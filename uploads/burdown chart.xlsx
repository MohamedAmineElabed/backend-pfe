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\Desktop\pfe\"/>
    </mc:Choice>
  </mc:AlternateContent>
  <xr:revisionPtr revIDLastSave="0" documentId="13_ncr:1_{344611F7-7113-4746-8910-D9D8113C8966}" xr6:coauthVersionLast="47" xr6:coauthVersionMax="47" xr10:uidLastSave="{00000000-0000-0000-0000-000000000000}"/>
  <bookViews>
    <workbookView xWindow="-108" yWindow="-108" windowWidth="23256" windowHeight="12456" xr2:uid="{192B7F89-1C96-4F2C-9F0C-7F24511F56A5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" i="1" l="1"/>
  <c r="E10" i="1"/>
  <c r="D10" i="1"/>
  <c r="C10" i="1"/>
  <c r="C9" i="1"/>
  <c r="D9" i="1" s="1"/>
  <c r="E9" i="1" s="1"/>
  <c r="F9" i="1" s="1"/>
  <c r="G9" i="1" s="1"/>
  <c r="H9" i="1" s="1"/>
  <c r="I9" i="1" s="1"/>
  <c r="K9" i="1" l="1"/>
  <c r="L9" i="1" s="1"/>
  <c r="M9" i="1" s="1"/>
  <c r="N9" i="1" s="1"/>
  <c r="O9" i="1" s="1"/>
  <c r="P9" i="1" s="1"/>
  <c r="Q9" i="1" s="1"/>
  <c r="R9" i="1" s="1"/>
  <c r="S9" i="1" s="1"/>
</calcChain>
</file>

<file path=xl/sharedStrings.xml><?xml version="1.0" encoding="utf-8"?>
<sst xmlns="http://schemas.openxmlformats.org/spreadsheetml/2006/main" count="30" uniqueCount="30">
  <si>
    <t>BacklogID</t>
  </si>
  <si>
    <t>UserStories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</si>
  <si>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</si>
  <si>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</si>
  <si>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</si>
  <si>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</si>
  <si>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</si>
  <si>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</si>
  <si>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</si>
  <si>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</si>
  <si>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</si>
  <si>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</si>
  <si>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</si>
  <si>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</si>
  <si>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</si>
  <si>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</si>
  <si>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</si>
  <si>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Remaining Effort</t>
  </si>
  <si>
    <t>Ideal Trend</t>
  </si>
  <si>
    <t>créer demande</t>
  </si>
  <si>
    <t xml:space="preserve">consulter liste des demandes </t>
  </si>
  <si>
    <t>authentifier</t>
  </si>
  <si>
    <t>traiter demande</t>
  </si>
  <si>
    <t>modifier informations personnelles</t>
  </si>
  <si>
    <t>réinitialiser mot de passe</t>
  </si>
  <si>
    <t>consulter liste responsables/organismes</t>
  </si>
  <si>
    <t>1 means 1 day of work was done on that day.</t>
  </si>
  <si>
    <t>(-1) means extra day of work</t>
  </si>
  <si>
    <t>Day 16</t>
  </si>
  <si>
    <t>expectation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</si>
</sst>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chart Sprint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Feuil1!$B$9</c:f>
              <c:strCache>
                <c:ptCount val="1"/>
                <c:pt idx="0">
                  <c:v>Remaining Effort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Feuil1!$C$9:$S$9</c:f>
              <c:numCache>
                <c:formatCode>General</c:formatCode>
                <c:ptCount val="17"/>
                <c:pt idx="0">
                  <c:v>14</c:v>
                </c:pt>
                <c:pt idx="1">
                  <c:v>13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13</c:v>
                </c:pt>
                <c:pt idx="6">
                  <c:v>12</c:v>
                </c:pt>
                <c:pt idx="7">
                  <c:v>11</c:v>
                </c:pt>
                <c:pt idx="8">
                  <c:v>12</c:v>
                </c:pt>
                <c:pt idx="9">
                  <c:v>12</c:v>
                </c:pt>
                <c:pt idx="10">
                  <c:v>11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54-475B-B053-281932CA3065}"/>
            </c:ext>
          </c:extLst>
        </c:ser>
        <c:ser>
          <c:idx val="1"/>
          <c:order val="1"/>
          <c:tx>
            <c:strRef>
              <c:f>Feuil1!$B$10</c:f>
              <c:strCache>
                <c:ptCount val="1"/>
                <c:pt idx="0">
                  <c:v>Ideal Trend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Feuil1!$C$10:$S$10</c:f>
              <c:numCache>
                <c:formatCode>General</c:formatCode>
                <c:ptCount val="17"/>
                <c:pt idx="0">
                  <c:v>14</c:v>
                </c:pt>
                <c:pt idx="1">
                  <c:v>13</c:v>
                </c:pt>
                <c:pt idx="2">
                  <c:v>12</c:v>
                </c:pt>
                <c:pt idx="3">
                  <c:v>11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7</c:v>
                </c:pt>
                <c:pt idx="8">
                  <c:v>6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54-475B-B053-281932CA3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5754272"/>
        <c:axId val="1785752352"/>
      </c:lineChart>
      <c:catAx>
        <c:axId val="178575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752352"/>
        <c:crosses val="autoZero"/>
        <c:auto val="1"/>
        <c:lblAlgn val="ctr"/>
        <c:lblOffset val="100"/>
        <c:noMultiLvlLbl val="0"/>
      </c:catAx>
      <c:valAx>
        <c:axId val="178575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75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466725</xdr:colOff>
      <xdr:row>14</xdr:row>
      <xdr:rowOff>52388</xdr:rowOff>
    </xdr:from>
    <xdr:to>
      <xdr:col>10</xdr:col>
      <xdr:colOff>685800</xdr:colOff>
      <xdr:row>29</xdr:row>
      <xdr:rowOff>80963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3F1670-5963-C2C6-7F6F-8FD032FB93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10491-03BB-4A16-B761-5D69D7689FD6}">
  <dimension ref="A1:S13"/>
  <sheetViews>
    <sheetView tabSelected="1" topLeftCell="B1" zoomScale="80" zoomScaleNormal="80" workbookViewId="0">
      <selection activeCell="B23" sqref="B23"/>
    </sheetView>
  </sheetViews>
  <sheetFormatPr defaultColWidth="11.5546875" defaultRowHeight="14.4" x14ac:dyDescent="0.3"/>
  <cols>
    <col min="2" max="2" width="54.44140625" customWidth="1"/>
  </cols>
  <sheetData>
    <row r="1" spans="1:19" x14ac:dyDescent="0.3">
      <c r="A1" s="1" t="s">
        <v>0</v>
      </c>
      <c r="B1" s="1" t="s">
        <v>1</v>
      </c>
      <c r="C1" s="2" t="s">
        <v>29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28</v>
      </c>
    </row>
    <row r="2" spans="1:19" x14ac:dyDescent="0.3">
      <c r="A2" s="1">
        <v>1</v>
      </c>
      <c r="B2" s="1" t="s">
        <v>19</v>
      </c>
      <c r="C2" s="1">
        <v>2</v>
      </c>
      <c r="D2" s="1">
        <v>1</v>
      </c>
      <c r="E2" s="1">
        <v>-1</v>
      </c>
      <c r="F2" s="1">
        <v>-1</v>
      </c>
      <c r="G2" s="1">
        <v>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9" x14ac:dyDescent="0.3">
      <c r="A3" s="1">
        <v>2</v>
      </c>
      <c r="B3" s="1" t="s">
        <v>21</v>
      </c>
      <c r="C3" s="1">
        <v>1</v>
      </c>
      <c r="D3" s="1"/>
      <c r="E3" s="1"/>
      <c r="F3" s="1">
        <v>1</v>
      </c>
      <c r="G3" s="1">
        <v>-1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9" x14ac:dyDescent="0.3">
      <c r="A4" s="1">
        <v>3</v>
      </c>
      <c r="B4" s="1" t="s">
        <v>20</v>
      </c>
      <c r="C4" s="1">
        <v>1</v>
      </c>
      <c r="D4" s="1"/>
      <c r="E4" s="1"/>
      <c r="F4" s="1"/>
      <c r="G4" s="1"/>
      <c r="H4" s="1">
        <v>1</v>
      </c>
      <c r="I4" s="1"/>
      <c r="J4" s="1"/>
      <c r="K4" s="1"/>
      <c r="L4" s="1"/>
      <c r="M4" s="1"/>
      <c r="N4" s="1"/>
      <c r="O4" s="1"/>
      <c r="P4" s="1"/>
      <c r="Q4" s="1"/>
      <c r="R4" s="1"/>
    </row>
    <row r="5" spans="1:19" x14ac:dyDescent="0.3">
      <c r="A5" s="1">
        <v>4</v>
      </c>
      <c r="B5" s="1" t="s">
        <v>22</v>
      </c>
      <c r="C5" s="1">
        <v>3</v>
      </c>
      <c r="D5" s="1"/>
      <c r="E5" s="1"/>
      <c r="F5" s="1"/>
      <c r="G5" s="1"/>
      <c r="H5" s="1"/>
      <c r="I5" s="1">
        <v>1</v>
      </c>
      <c r="J5" s="1">
        <v>1</v>
      </c>
      <c r="K5" s="1">
        <v>-1</v>
      </c>
      <c r="L5" s="1">
        <v>-1</v>
      </c>
      <c r="M5" s="1"/>
      <c r="N5" s="1"/>
      <c r="O5" s="1"/>
      <c r="P5" s="1"/>
      <c r="Q5" s="1"/>
      <c r="R5" s="1"/>
    </row>
    <row r="6" spans="1:19" x14ac:dyDescent="0.3">
      <c r="A6" s="1">
        <v>5</v>
      </c>
      <c r="B6" t="s">
        <v>23</v>
      </c>
      <c r="C6" s="1">
        <v>1.5</v>
      </c>
      <c r="D6" s="1"/>
      <c r="E6" s="1"/>
      <c r="F6" s="1"/>
      <c r="G6" s="1"/>
      <c r="H6" s="1"/>
      <c r="I6" s="1"/>
      <c r="J6" s="1"/>
      <c r="K6" s="1"/>
      <c r="L6" s="1">
        <v>1</v>
      </c>
      <c r="M6" s="1">
        <v>1</v>
      </c>
      <c r="N6" s="1"/>
      <c r="O6" s="1">
        <v>-1</v>
      </c>
      <c r="P6" s="1"/>
      <c r="Q6" s="1"/>
      <c r="R6" s="1"/>
    </row>
    <row r="7" spans="1:19" x14ac:dyDescent="0.3">
      <c r="A7" s="1">
        <v>6</v>
      </c>
      <c r="B7" t="s">
        <v>24</v>
      </c>
      <c r="C7" s="1">
        <v>4</v>
      </c>
      <c r="D7" s="1"/>
      <c r="E7" s="1"/>
      <c r="F7" s="1"/>
      <c r="G7" s="1"/>
      <c r="H7" s="1"/>
      <c r="I7" s="1"/>
      <c r="J7" s="1"/>
      <c r="K7" s="1"/>
      <c r="L7" s="1"/>
      <c r="M7" s="1"/>
      <c r="N7" s="1">
        <v>1</v>
      </c>
      <c r="O7" s="1">
        <v>1</v>
      </c>
      <c r="P7" s="1">
        <v>-1</v>
      </c>
      <c r="Q7" s="1">
        <v>1</v>
      </c>
      <c r="R7" s="1">
        <v>1</v>
      </c>
      <c r="S7" s="4">
        <v>-1</v>
      </c>
    </row>
    <row r="8" spans="1:19" x14ac:dyDescent="0.3">
      <c r="A8" s="1">
        <v>7</v>
      </c>
      <c r="B8" t="s">
        <v>25</v>
      </c>
      <c r="C8" s="1">
        <v>1.5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>
        <v>1</v>
      </c>
      <c r="Q8" s="1"/>
      <c r="R8" s="1">
        <v>-1</v>
      </c>
    </row>
    <row r="9" spans="1:19" x14ac:dyDescent="0.3">
      <c r="A9" s="1">
        <v>8</v>
      </c>
      <c r="B9" s="1" t="s">
        <v>17</v>
      </c>
      <c r="C9" s="1">
        <f xml:space="preserve"> SUM(C2:C8)</f>
        <v>14</v>
      </c>
      <c r="D9" s="1">
        <f t="shared" ref="D9:Q9" si="0">C9-SUM(D2:D8)</f>
        <v>13</v>
      </c>
      <c r="E9" s="1">
        <f t="shared" si="0"/>
        <v>14</v>
      </c>
      <c r="F9" s="1">
        <f t="shared" si="0"/>
        <v>14</v>
      </c>
      <c r="G9" s="1">
        <f t="shared" si="0"/>
        <v>14</v>
      </c>
      <c r="H9" s="1">
        <f t="shared" si="0"/>
        <v>13</v>
      </c>
      <c r="I9" s="1">
        <f t="shared" si="0"/>
        <v>12</v>
      </c>
      <c r="J9" s="1">
        <f>I9-SUM(J2:J8)</f>
        <v>11</v>
      </c>
      <c r="K9" s="1">
        <f t="shared" si="0"/>
        <v>12</v>
      </c>
      <c r="L9" s="1">
        <f t="shared" si="0"/>
        <v>12</v>
      </c>
      <c r="M9" s="1">
        <f t="shared" si="0"/>
        <v>11</v>
      </c>
      <c r="N9" s="1">
        <f t="shared" si="0"/>
        <v>10</v>
      </c>
      <c r="O9" s="1">
        <f t="shared" si="0"/>
        <v>10</v>
      </c>
      <c r="P9" s="1">
        <f t="shared" si="0"/>
        <v>10</v>
      </c>
      <c r="Q9" s="1">
        <f t="shared" si="0"/>
        <v>9</v>
      </c>
      <c r="R9" s="1">
        <f>Q9-SUM(R2:R8)</f>
        <v>9</v>
      </c>
      <c r="S9" s="4">
        <f>R9-SUM(R2:R8)</f>
        <v>9</v>
      </c>
    </row>
    <row r="10" spans="1:19" x14ac:dyDescent="0.3">
      <c r="A10" s="1">
        <v>9</v>
      </c>
      <c r="B10" s="1" t="s">
        <v>18</v>
      </c>
      <c r="C10" s="1">
        <f>SUM(C2:C8)</f>
        <v>14</v>
      </c>
      <c r="D10" s="1">
        <f>$C$9-($C$9/14*1)</f>
        <v>13</v>
      </c>
      <c r="E10" s="1">
        <f>$C$9-($C$9/14*2)</f>
        <v>12</v>
      </c>
      <c r="F10" s="1">
        <v>11</v>
      </c>
      <c r="G10" s="1">
        <v>10</v>
      </c>
      <c r="H10" s="1">
        <v>9</v>
      </c>
      <c r="I10" s="1">
        <v>8</v>
      </c>
      <c r="J10" s="1">
        <v>7</v>
      </c>
      <c r="K10" s="1">
        <v>6</v>
      </c>
      <c r="L10" s="1">
        <v>5</v>
      </c>
      <c r="M10" s="1">
        <v>4</v>
      </c>
      <c r="N10" s="1">
        <v>3</v>
      </c>
      <c r="O10" s="1">
        <v>2</v>
      </c>
      <c r="P10" s="1">
        <v>1</v>
      </c>
      <c r="Q10" s="1">
        <v>0</v>
      </c>
      <c r="R10" s="1">
        <v>0</v>
      </c>
      <c r="S10" s="4">
        <v>0</v>
      </c>
    </row>
    <row r="12" spans="1:19" x14ac:dyDescent="0.3">
      <c r="B12" t="s">
        <v>26</v>
      </c>
    </row>
    <row r="13" spans="1:19" x14ac:dyDescent="0.3">
      <c r="B13" t="s">
        <v>27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Amine Elabed</dc:creator>
  <cp:lastModifiedBy>Mohamed Amine Elabed</cp:lastModifiedBy>
  <dcterms:created xsi:type="dcterms:W3CDTF">2026-04-13T22:25:49Z</dcterms:created>
  <dcterms:modified xsi:type="dcterms:W3CDTF">2026-04-17T15:34:10Z</dcterms:modified>
</cp:coreProperties>
</file>